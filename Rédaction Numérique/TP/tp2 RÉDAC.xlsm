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geplanaudiere-my.sharepoint.com/personal/2031990_etu_cegep-lanaudiere_qc_ca/Documents/"/>
    </mc:Choice>
  </mc:AlternateContent>
  <xr:revisionPtr revIDLastSave="368" documentId="8_{A34A022B-88FE-4941-B687-9AFDD3B444DE}" xr6:coauthVersionLast="47" xr6:coauthVersionMax="47" xr10:uidLastSave="{4A222A6B-2972-48BF-9483-B1AA63FA9C16}"/>
  <bookViews>
    <workbookView xWindow="-120" yWindow="-120" windowWidth="29040" windowHeight="15840" activeTab="1" xr2:uid="{368519BC-2873-4771-852E-80065C672728}"/>
  </bookViews>
  <sheets>
    <sheet name="Inventaire" sheetId="1" r:id="rId1"/>
    <sheet name="Feuille Facture" sheetId="2" r:id="rId2"/>
  </sheets>
  <definedNames>
    <definedName name="NumProd">Tableau1[Nom du produit]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2" l="1"/>
  <c r="C14" i="2"/>
  <c r="C15" i="2"/>
  <c r="C16" i="2"/>
  <c r="C17" i="2"/>
  <c r="C18" i="2"/>
  <c r="E18" i="2" s="1"/>
  <c r="C19" i="2"/>
  <c r="C20" i="2"/>
  <c r="C21" i="2"/>
  <c r="C22" i="2"/>
  <c r="E22" i="2" s="1"/>
  <c r="C23" i="2"/>
  <c r="E23" i="2" s="1"/>
  <c r="E14" i="2"/>
  <c r="E13" i="2"/>
  <c r="E17" i="2"/>
  <c r="E21" i="2"/>
  <c r="A13" i="2"/>
  <c r="A14" i="2"/>
  <c r="A15" i="2"/>
  <c r="A16" i="2"/>
  <c r="A17" i="2"/>
  <c r="A18" i="2"/>
  <c r="A19" i="2"/>
  <c r="A20" i="2"/>
  <c r="A21" i="2"/>
  <c r="A22" i="2"/>
  <c r="A23" i="2"/>
  <c r="C5" i="2"/>
  <c r="E16" i="2"/>
  <c r="E20" i="2"/>
  <c r="E19" i="2"/>
  <c r="E15" i="2"/>
  <c r="E25" i="2" l="1"/>
</calcChain>
</file>

<file path=xl/sharedStrings.xml><?xml version="1.0" encoding="utf-8"?>
<sst xmlns="http://schemas.openxmlformats.org/spreadsheetml/2006/main" count="36" uniqueCount="34">
  <si>
    <t>Numéro de produit</t>
  </si>
  <si>
    <t>Nom du produit</t>
  </si>
  <si>
    <t>Prix du produit</t>
  </si>
  <si>
    <t>Quantité restante</t>
  </si>
  <si>
    <t>Compagnie Joyeux Matin</t>
  </si>
  <si>
    <t>42 avenue du matin</t>
  </si>
  <si>
    <t>Joliette</t>
  </si>
  <si>
    <t xml:space="preserve">Facturé à </t>
  </si>
  <si>
    <t>Facture no. 00001</t>
  </si>
  <si>
    <t xml:space="preserve">Date: </t>
  </si>
  <si>
    <t>Sous-Total</t>
  </si>
  <si>
    <t>Quantité</t>
  </si>
  <si>
    <t>Prix</t>
  </si>
  <si>
    <t>Nom</t>
  </si>
  <si>
    <t>Total:</t>
  </si>
  <si>
    <t>TVQ:</t>
  </si>
  <si>
    <t>TPS:</t>
  </si>
  <si>
    <t>Sous-Total:</t>
  </si>
  <si>
    <t>Rue</t>
  </si>
  <si>
    <t>Ville</t>
  </si>
  <si>
    <t>Modalité de paiement</t>
  </si>
  <si>
    <t>TPS no. 0103812231</t>
  </si>
  <si>
    <t>TVQ no.0103812231</t>
  </si>
  <si>
    <t>Scrambler</t>
  </si>
  <si>
    <t>Thruxton</t>
  </si>
  <si>
    <t>Bobber</t>
  </si>
  <si>
    <t>Speed Master</t>
  </si>
  <si>
    <t>Ninja Kawasaki</t>
  </si>
  <si>
    <t>Kawasaki ER5</t>
  </si>
  <si>
    <t xml:space="preserve">Bonneville T100 </t>
  </si>
  <si>
    <t>MT09</t>
  </si>
  <si>
    <t>Vulcan Kawasaki</t>
  </si>
  <si>
    <t>Indian Bobber</t>
  </si>
  <si>
    <t>Numéro du produit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</si>
</sst>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#,##0\ &quot;$&quot;_);[Red]\(#,##0\ &quot;$&quot;\)"/>
    <numFmt numFmtId="44" formatCode="_ * #,##0.00_)\ &quot;$&quot;_ ;_ * \(#,##0.00\)\ &quot;$&quot;_ ;_ * &quot;-&quot;??_)\ &quot;$&quot;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Bodoni MT Black"/>
      <family val="1"/>
    </font>
    <font>
      <sz val="11"/>
      <color theme="1"/>
      <name val="Aharoni"/>
      <charset val="177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44" fontId="0" fillId="0" borderId="0" xfId="1" applyFont="1" applyAlignment="1">
      <alignment horizontal="left"/>
    </xf>
    <xf numFmtId="6" fontId="0" fillId="0" borderId="0" xfId="0" applyNumberFormat="1"/>
    <xf numFmtId="14" fontId="0" fillId="0" borderId="0" xfId="0" applyNumberFormat="1" applyAlignment="1">
      <alignment horizontal="center"/>
    </xf>
  </cellXfs>
  <cellStyles count="2">
    <cellStyle name="Monétaire" xfId="1" builtinId="4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23</xdr:row>
          <xdr:rowOff>114300</xdr:rowOff>
        </xdr:from>
        <xdr:to>
          <xdr:col>1</xdr:col>
          <xdr:colOff>485775</xdr:colOff>
          <xdr:row>25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  <a:p>
              <a:pPr algn="ctr" rtl="0">
                <a:defRPr sz="1000"/>
              </a:pPr>
              <a:endParaRPr lang="fr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76201</xdr:colOff>
      <xdr:row>0</xdr:row>
      <xdr:rowOff>28575</xdr:rowOff>
    </xdr:from>
    <xdr:to>
      <xdr:col>4</xdr:col>
      <xdr:colOff>1335889</xdr:colOff>
      <xdr:row>5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1" y="28575"/>
          <a:ext cx="1259688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23</xdr:row>
          <xdr:rowOff>123825</xdr:rowOff>
        </xdr:from>
        <xdr:to>
          <xdr:col>2</xdr:col>
          <xdr:colOff>752475</xdr:colOff>
          <xdr:row>25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496024-966F-4BE3-A7B9-3900D2F2B1DB}" name="Tableau1" displayName="Tableau1" ref="A1:D11" totalsRowShown="0">
  <autoFilter ref="A1:D11" xr:uid="{5D6CD16D-7A4C-4DB9-85FA-892930D5A6C2}"/>
  <tableColumns count="4">
    <tableColumn id="1" xr3:uid="{E5C08AC3-2135-4E5C-B425-569D26F6222F}" name="Nom du produit"/>
    <tableColumn id="2" xr3:uid="{27A96D5E-9FA0-447F-83BC-3ACE37262577}" name="Numéro du produit"/>
    <tableColumn id="3" xr3:uid="{A46D2C16-58CB-4FDA-91E0-DE51D110B370}" name="Prix du produit"/>
    <tableColumn id="4" xr3:uid="{D1407D91-9B65-4E28-91E5-9A0E5E749610}" name="Quantité rest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05586F-5147-4879-B68E-74682A8F3DAA}" name="Tableau2" displayName="Tableau2" ref="A12:E23" totalsRowShown="0">
  <autoFilter ref="A12:E23" xr:uid="{6605586F-5147-4879-B68E-74682A8F3DAA}"/>
  <tableColumns count="5">
    <tableColumn id="1" xr3:uid="{DCD56FE2-937D-4166-B50F-615D06B91022}" name="Numéro de produit" dataDxfId="3">
      <calculatedColumnFormula>IFERROR(VLOOKUP(B13,Inventaire!$A$2:$D$11,2,FALSE),"")</calculatedColumnFormula>
    </tableColumn>
    <tableColumn id="2" xr3:uid="{9388C946-BD83-4E1E-8878-A447A88F68D1}" name="Nom" dataDxfId="2">
      <calculatedColumnFormula>IFERROR(VLOOKUP(B13,Tableau3,2,FALSE),"")</calculatedColumnFormula>
    </tableColumn>
    <tableColumn id="3" xr3:uid="{4196622C-DB25-4D37-9BDB-E919A10758B3}" name="Prix" dataDxfId="1">
      <calculatedColumnFormula>IFERROR(VLOOKUP(B13,Inventaire!$A$2:$D$11,3,FALSE),"")</calculatedColumnFormula>
    </tableColumn>
    <tableColumn id="4" xr3:uid="{5D6A6659-1566-4EDD-9CA9-9664A61FB4CE}" name="Quantité"/>
    <tableColumn id="5" xr3:uid="{0EDAE52E-3741-4D1B-943F-198ADEDC0091}" name="Sous-Total" dataDxfId="0">
      <calculatedColumnFormula>IFERROR(C13*D13,"")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867C-601C-4228-B556-8A24077BA5FA}">
  <sheetPr codeName="Feuil1"/>
  <dimension ref="A1:D11"/>
  <sheetViews>
    <sheetView zoomScale="130" zoomScaleNormal="130" workbookViewId="0">
      <selection activeCell="C2" sqref="C2"/>
    </sheetView>
  </sheetViews>
  <sheetFormatPr baseColWidth="10" defaultRowHeight="15" x14ac:dyDescent="0.25"/>
  <cols>
    <col min="1" max="4" width="20.5703125" customWidth="1"/>
  </cols>
  <sheetData>
    <row r="1" spans="1:4" x14ac:dyDescent="0.25">
      <c r="A1" t="s">
        <v>1</v>
      </c>
      <c r="B1" t="s">
        <v>33</v>
      </c>
      <c r="C1" t="s">
        <v>2</v>
      </c>
      <c r="D1" t="s">
        <v>3</v>
      </c>
    </row>
    <row r="2" spans="1:4" x14ac:dyDescent="0.25">
      <c r="A2" t="s">
        <v>29</v>
      </c>
      <c r="B2">
        <v>1000001</v>
      </c>
      <c r="C2" s="6">
        <v>12599</v>
      </c>
      <c r="D2">
        <v>8</v>
      </c>
    </row>
    <row r="3" spans="1:4" x14ac:dyDescent="0.25">
      <c r="A3" t="s">
        <v>23</v>
      </c>
      <c r="B3">
        <v>1000002</v>
      </c>
      <c r="C3" s="6">
        <v>12700</v>
      </c>
      <c r="D3">
        <v>7</v>
      </c>
    </row>
    <row r="4" spans="1:4" x14ac:dyDescent="0.25">
      <c r="A4" t="s">
        <v>24</v>
      </c>
      <c r="B4">
        <v>1000003</v>
      </c>
      <c r="C4" s="6">
        <v>16700</v>
      </c>
      <c r="D4">
        <v>42</v>
      </c>
    </row>
    <row r="5" spans="1:4" x14ac:dyDescent="0.25">
      <c r="A5" t="s">
        <v>25</v>
      </c>
      <c r="B5">
        <v>1000004</v>
      </c>
      <c r="C5" s="6">
        <v>15250</v>
      </c>
      <c r="D5">
        <v>5</v>
      </c>
    </row>
    <row r="6" spans="1:4" x14ac:dyDescent="0.25">
      <c r="A6" t="s">
        <v>26</v>
      </c>
      <c r="B6">
        <v>1000005</v>
      </c>
      <c r="C6" s="6">
        <v>15250</v>
      </c>
      <c r="D6">
        <v>9</v>
      </c>
    </row>
    <row r="7" spans="1:4" x14ac:dyDescent="0.25">
      <c r="A7" t="s">
        <v>28</v>
      </c>
      <c r="B7">
        <v>1000006</v>
      </c>
      <c r="C7" s="6">
        <v>2557</v>
      </c>
      <c r="D7">
        <v>1</v>
      </c>
    </row>
    <row r="8" spans="1:4" x14ac:dyDescent="0.25">
      <c r="A8" t="s">
        <v>30</v>
      </c>
      <c r="B8">
        <v>1000007</v>
      </c>
      <c r="C8" s="6">
        <v>11799</v>
      </c>
      <c r="D8">
        <v>8</v>
      </c>
    </row>
    <row r="9" spans="1:4" x14ac:dyDescent="0.25">
      <c r="A9" t="s">
        <v>27</v>
      </c>
      <c r="B9">
        <v>1000008</v>
      </c>
      <c r="C9" s="6">
        <v>9299</v>
      </c>
      <c r="D9">
        <v>3</v>
      </c>
    </row>
    <row r="10" spans="1:4" x14ac:dyDescent="0.25">
      <c r="A10" t="s">
        <v>31</v>
      </c>
      <c r="B10">
        <v>1000009</v>
      </c>
      <c r="C10" s="6">
        <v>8699</v>
      </c>
      <c r="D10">
        <v>78</v>
      </c>
    </row>
    <row r="11" spans="1:4" x14ac:dyDescent="0.25">
      <c r="A11" t="s">
        <v>32</v>
      </c>
      <c r="B11">
        <v>1000010</v>
      </c>
      <c r="C11" s="6">
        <v>13999</v>
      </c>
      <c r="D11">
        <v>69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E9D1A-ED04-4F0E-A26B-07678BEFE6A4}">
  <sheetPr codeName="Feuil2"/>
  <dimension ref="A1:E30"/>
  <sheetViews>
    <sheetView tabSelected="1" topLeftCell="A13" workbookViewId="0">
      <selection activeCell="D9" sqref="D9"/>
    </sheetView>
  </sheetViews>
  <sheetFormatPr baseColWidth="10" defaultRowHeight="15" x14ac:dyDescent="0.25"/>
  <cols>
    <col min="1" max="5" width="20.7109375" customWidth="1"/>
  </cols>
  <sheetData>
    <row r="1" spans="1:5" ht="23.25" x14ac:dyDescent="0.35">
      <c r="A1" s="3" t="s">
        <v>4</v>
      </c>
    </row>
    <row r="2" spans="1:5" x14ac:dyDescent="0.25">
      <c r="A2" t="s">
        <v>5</v>
      </c>
    </row>
    <row r="3" spans="1:5" x14ac:dyDescent="0.25">
      <c r="A3" t="s">
        <v>6</v>
      </c>
    </row>
    <row r="5" spans="1:5" x14ac:dyDescent="0.25">
      <c r="B5" s="2" t="s">
        <v>9</v>
      </c>
      <c r="C5" s="7">
        <f ca="1">TODAY()</f>
        <v>44545</v>
      </c>
    </row>
    <row r="6" spans="1:5" x14ac:dyDescent="0.25">
      <c r="A6" s="4" t="s">
        <v>7</v>
      </c>
      <c r="E6" s="1"/>
    </row>
    <row r="7" spans="1:5" x14ac:dyDescent="0.25">
      <c r="A7" t="s">
        <v>13</v>
      </c>
      <c r="E7" t="s">
        <v>21</v>
      </c>
    </row>
    <row r="8" spans="1:5" x14ac:dyDescent="0.25">
      <c r="A8" t="s">
        <v>18</v>
      </c>
      <c r="E8" t="s">
        <v>22</v>
      </c>
    </row>
    <row r="9" spans="1:5" x14ac:dyDescent="0.25">
      <c r="A9" t="s">
        <v>19</v>
      </c>
      <c r="E9" t="s">
        <v>8</v>
      </c>
    </row>
    <row r="12" spans="1:5" x14ac:dyDescent="0.25">
      <c r="A12" t="s">
        <v>0</v>
      </c>
      <c r="B12" t="s">
        <v>13</v>
      </c>
      <c r="C12" t="s">
        <v>12</v>
      </c>
      <c r="D12" t="s">
        <v>11</v>
      </c>
      <c r="E12" t="s">
        <v>10</v>
      </c>
    </row>
    <row r="13" spans="1:5" x14ac:dyDescent="0.25">
      <c r="A13" t="str">
        <f>IFERROR(VLOOKUP(B13,Inventaire!$A$2:$D$11,2,FALSE),"")</f>
        <v/>
      </c>
      <c r="C13" t="str">
        <f>IFERROR(VLOOKUP(B13,Inventaire!$A$2:$D$11,3,FALSE),"")</f>
        <v/>
      </c>
      <c r="E13" t="str">
        <f t="shared" ref="E13:E23" si="0">IFERROR(C13*D13,"")</f>
        <v/>
      </c>
    </row>
    <row r="14" spans="1:5" x14ac:dyDescent="0.25">
      <c r="A14">
        <f>IFERROR(VLOOKUP(B14,Inventaire!$A$2:$D$11,2,FALSE),"")</f>
        <v>1000001</v>
      </c>
      <c r="B14" t="s">
        <v>29</v>
      </c>
      <c r="C14">
        <f>IFERROR(VLOOKUP(B14,Inventaire!$A$2:$D$11,3,FALSE),"")</f>
        <v>12599</v>
      </c>
      <c r="D14">
        <v>1</v>
      </c>
      <c r="E14">
        <f t="shared" si="0"/>
        <v>12599</v>
      </c>
    </row>
    <row r="15" spans="1:5" x14ac:dyDescent="0.25">
      <c r="A15" t="str">
        <f>IFERROR(VLOOKUP(B15,Inventaire!$A$2:$D$11,2,FALSE),"")</f>
        <v/>
      </c>
      <c r="C15" t="str">
        <f>IFERROR(VLOOKUP(B15,Inventaire!$A$2:$D$11,3,FALSE),"")</f>
        <v/>
      </c>
      <c r="E15" t="str">
        <f t="shared" si="0"/>
        <v/>
      </c>
    </row>
    <row r="16" spans="1:5" x14ac:dyDescent="0.25">
      <c r="A16" t="str">
        <f>IFERROR(VLOOKUP(B16,Inventaire!$A$2:$D$11,2,FALSE),"")</f>
        <v/>
      </c>
      <c r="C16" t="str">
        <f>IFERROR(VLOOKUP(B16,Inventaire!$A$2:$D$11,3,FALSE),"")</f>
        <v/>
      </c>
      <c r="E16" t="str">
        <f t="shared" si="0"/>
        <v/>
      </c>
    </row>
    <row r="17" spans="1:5" x14ac:dyDescent="0.25">
      <c r="A17" t="str">
        <f>IFERROR(VLOOKUP(B17,Inventaire!$A$2:$D$11,2,FALSE),"")</f>
        <v/>
      </c>
      <c r="C17" t="str">
        <f>IFERROR(VLOOKUP(B17,Inventaire!$A$2:$D$11,3,FALSE),"")</f>
        <v/>
      </c>
      <c r="E17" t="str">
        <f t="shared" si="0"/>
        <v/>
      </c>
    </row>
    <row r="18" spans="1:5" x14ac:dyDescent="0.25">
      <c r="A18" t="str">
        <f>IFERROR(VLOOKUP(B18,Inventaire!$A$2:$D$11,2,FALSE),"")</f>
        <v/>
      </c>
      <c r="C18" t="str">
        <f>IFERROR(VLOOKUP(B18,Inventaire!$A$2:$D$11,3,FALSE),"")</f>
        <v/>
      </c>
      <c r="E18" t="str">
        <f t="shared" si="0"/>
        <v/>
      </c>
    </row>
    <row r="19" spans="1:5" x14ac:dyDescent="0.25">
      <c r="A19" t="str">
        <f>IFERROR(VLOOKUP(B19,Inventaire!$A$2:$D$11,2,FALSE),"")</f>
        <v/>
      </c>
      <c r="C19" t="str">
        <f>IFERROR(VLOOKUP(B19,Inventaire!$A$2:$D$11,3,FALSE),"")</f>
        <v/>
      </c>
      <c r="E19" t="str">
        <f t="shared" si="0"/>
        <v/>
      </c>
    </row>
    <row r="20" spans="1:5" x14ac:dyDescent="0.25">
      <c r="A20" t="str">
        <f>IFERROR(VLOOKUP(B20,Inventaire!$A$2:$D$11,2,FALSE),"")</f>
        <v/>
      </c>
      <c r="C20" t="str">
        <f>IFERROR(VLOOKUP(B20,Inventaire!$A$2:$D$11,3,FALSE),"")</f>
        <v/>
      </c>
      <c r="E20" t="str">
        <f t="shared" si="0"/>
        <v/>
      </c>
    </row>
    <row r="21" spans="1:5" x14ac:dyDescent="0.25">
      <c r="A21" t="str">
        <f>IFERROR(VLOOKUP(B21,Inventaire!$A$2:$D$11,2,FALSE),"")</f>
        <v/>
      </c>
      <c r="C21" t="str">
        <f>IFERROR(VLOOKUP(B21,Inventaire!$A$2:$D$11,3,FALSE),"")</f>
        <v/>
      </c>
      <c r="E21" t="str">
        <f t="shared" si="0"/>
        <v/>
      </c>
    </row>
    <row r="22" spans="1:5" x14ac:dyDescent="0.25">
      <c r="A22" t="str">
        <f>IFERROR(VLOOKUP(B22,Inventaire!$A$2:$D$11,2,FALSE),"")</f>
        <v/>
      </c>
      <c r="C22" t="str">
        <f>IFERROR(VLOOKUP(B22,Inventaire!$A$2:$D$11,3,FALSE),"")</f>
        <v/>
      </c>
      <c r="E22" t="str">
        <f t="shared" si="0"/>
        <v/>
      </c>
    </row>
    <row r="23" spans="1:5" x14ac:dyDescent="0.25">
      <c r="A23" t="str">
        <f>IFERROR(VLOOKUP(B23,Inventaire!$A$2:$D$11,2,FALSE),"")</f>
        <v/>
      </c>
      <c r="C23" t="str">
        <f>IFERROR(VLOOKUP(B23,Inventaire!$A$2:$D$11,3,FALSE),"")</f>
        <v/>
      </c>
      <c r="E23" t="str">
        <f t="shared" si="0"/>
        <v/>
      </c>
    </row>
    <row r="25" spans="1:5" x14ac:dyDescent="0.25">
      <c r="D25" s="2" t="s">
        <v>17</v>
      </c>
      <c r="E25" s="5">
        <f>IFERROR(SUM(E13,E23),"")</f>
        <v>0</v>
      </c>
    </row>
    <row r="26" spans="1:5" x14ac:dyDescent="0.25">
      <c r="D26" s="2" t="s">
        <v>16</v>
      </c>
      <c r="E26" s="5">
        <v>0</v>
      </c>
    </row>
    <row r="27" spans="1:5" x14ac:dyDescent="0.25">
      <c r="D27" s="2" t="s">
        <v>15</v>
      </c>
      <c r="E27" s="5">
        <v>0</v>
      </c>
    </row>
    <row r="28" spans="1:5" x14ac:dyDescent="0.25">
      <c r="D28" s="2" t="s">
        <v>14</v>
      </c>
      <c r="E28" s="5">
        <v>0</v>
      </c>
    </row>
    <row r="30" spans="1:5" x14ac:dyDescent="0.25">
      <c r="D30" s="2" t="s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jouter">
                <anchor moveWithCells="1" sizeWithCells="1">
                  <from>
                    <xdr:col>0</xdr:col>
                    <xdr:colOff>438150</xdr:colOff>
                    <xdr:row>23</xdr:row>
                    <xdr:rowOff>114300</xdr:rowOff>
                  </from>
                  <to>
                    <xdr:col>1</xdr:col>
                    <xdr:colOff>485775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Enregistrer">
                <anchor moveWithCells="1" sizeWithCells="1">
                  <from>
                    <xdr:col>1</xdr:col>
                    <xdr:colOff>676275</xdr:colOff>
                    <xdr:row>23</xdr:row>
                    <xdr:rowOff>123825</xdr:rowOff>
                  </from>
                  <to>
                    <xdr:col>2</xdr:col>
                    <xdr:colOff>752475</xdr:colOff>
                    <xdr:row>25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Inventaire</vt:lpstr>
      <vt:lpstr>Feuille Facture</vt:lpstr>
      <vt:lpstr>NumProd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Ludwig-Emmanuel Dufour</dc:creator>
  <cp:lastModifiedBy>Ludwig-Emmanuel Dufour</cp:lastModifiedBy>
  <dcterms:created xsi:type="dcterms:W3CDTF">2021-12-08T19:28:34Z</dcterms:created>
  <dcterms:modified xsi:type="dcterms:W3CDTF">2021-12-15T21:11:17Z</dcterms:modified>
</cp:coreProperties>
</file>